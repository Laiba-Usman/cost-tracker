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E8B995B-BA08-46E2-8B96-AE7D50F626EF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Project Budget" sheetId="1" r:id="rId1"/>
    <sheet name="Cost Summary" sheetId="2" r:id="rId2"/>
    <sheet name="Assum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3" l="1"/>
  <c r="B4" i="3"/>
  <c r="B5" i="3" s="1"/>
  <c r="E9" i="2"/>
  <c r="D7" i="2"/>
  <c r="D5" i="2"/>
  <c r="D3" i="2"/>
  <c r="C3" i="2"/>
  <c r="C2" i="2"/>
  <c r="G44" i="1"/>
  <c r="E44" i="1"/>
  <c r="G43" i="1"/>
  <c r="I43" i="1" s="1"/>
  <c r="G42" i="1"/>
  <c r="I42" i="1" s="1"/>
  <c r="G38" i="1"/>
  <c r="I38" i="1" s="1"/>
  <c r="C6" i="2" s="1"/>
  <c r="I37" i="1"/>
  <c r="G36" i="1"/>
  <c r="I36" i="1" s="1"/>
  <c r="G35" i="1"/>
  <c r="I35" i="1" s="1"/>
  <c r="I31" i="1"/>
  <c r="I30" i="1"/>
  <c r="G29" i="1"/>
  <c r="I29" i="1" s="1"/>
  <c r="C5" i="2" s="1"/>
  <c r="I28" i="1"/>
  <c r="G24" i="1"/>
  <c r="I24" i="1" s="1"/>
  <c r="C4" i="2" s="1"/>
  <c r="H23" i="1"/>
  <c r="G23" i="1"/>
  <c r="E23" i="1"/>
  <c r="H22" i="1"/>
  <c r="G22" i="1"/>
  <c r="E22" i="1"/>
  <c r="I18" i="1"/>
  <c r="I17" i="1"/>
  <c r="I16" i="1"/>
  <c r="I15" i="1"/>
  <c r="I14" i="1"/>
  <c r="I19" i="1" s="1"/>
  <c r="B3" i="2" s="1"/>
  <c r="I10" i="1"/>
  <c r="G9" i="1"/>
  <c r="I9" i="1" s="1"/>
  <c r="G8" i="1"/>
  <c r="I8" i="1" s="1"/>
  <c r="G7" i="1"/>
  <c r="I7" i="1" s="1"/>
  <c r="G6" i="1"/>
  <c r="I6" i="1" s="1"/>
  <c r="G5" i="1"/>
  <c r="I5" i="1" s="1"/>
  <c r="G4" i="1"/>
  <c r="I4" i="1" s="1"/>
  <c r="I3" i="1"/>
  <c r="I22" i="1" l="1"/>
  <c r="I23" i="1"/>
  <c r="H44" i="1"/>
  <c r="I44" i="1" s="1"/>
  <c r="B15" i="2"/>
  <c r="B14" i="2"/>
  <c r="I39" i="1"/>
  <c r="B6" i="2" s="1"/>
  <c r="D6" i="2"/>
  <c r="I25" i="1"/>
  <c r="B4" i="2" s="1"/>
  <c r="D4" i="2"/>
  <c r="D2" i="2"/>
  <c r="I11" i="1"/>
  <c r="I32" i="1"/>
  <c r="B5" i="2" s="1"/>
  <c r="B2" i="2" l="1"/>
  <c r="D8" i="2"/>
  <c r="C7" i="2"/>
  <c r="C8" i="2" s="1"/>
  <c r="I45" i="1"/>
  <c r="D9" i="2" l="1"/>
  <c r="D10" i="2" s="1"/>
  <c r="C9" i="2"/>
  <c r="C10" i="2" s="1"/>
  <c r="B12" i="2" s="1"/>
  <c r="B7" i="2"/>
  <c r="B8" i="2" s="1"/>
  <c r="I47" i="1"/>
  <c r="E7" i="2" l="1"/>
  <c r="B9" i="2"/>
  <c r="B10" i="2" s="1"/>
  <c r="B13" i="2" s="1"/>
  <c r="E6" i="2"/>
  <c r="E5" i="2"/>
  <c r="E4" i="2"/>
  <c r="E3" i="2"/>
  <c r="E2" i="2"/>
  <c r="E8" i="2" l="1"/>
</calcChain>
</file>

<file path=xl/sharedStrings.xml><?xml version="1.0" encoding="utf-8"?>
<sst xmlns="http://schemas.openxmlformats.org/spreadsheetml/2006/main" count="195" uniqueCount="141">
  <si>
    <t>No.</t>
  </si>
  <si>
    <t>Item</t>
  </si>
  <si>
    <t>Details</t>
  </si>
  <si>
    <t>Cost type</t>
  </si>
  <si>
    <t>Qty</t>
  </si>
  <si>
    <t>Unit</t>
  </si>
  <si>
    <t>Rate (Rs.)</t>
  </si>
  <si>
    <t>Duration / hours</t>
  </si>
  <si>
    <t>Total (Rs.)</t>
  </si>
  <si>
    <t>Personnel</t>
  </si>
  <si>
    <t>Project management and documentation (Laiba)</t>
  </si>
  <si>
    <t>SPMP, reports, supervisor meetings</t>
  </si>
  <si>
    <t>In-kind</t>
  </si>
  <si>
    <t>hours</t>
  </si>
  <si>
    <t>Requirements, UI mockups and SRS (Laiba)</t>
  </si>
  <si>
    <t>User classes, mockups M1 to M10, SRS</t>
  </si>
  <si>
    <t>Frontend development, Flutter app (Laiba)</t>
  </si>
  <si>
    <t>Desktop app screens and integration</t>
  </si>
  <si>
    <t>System design (Waris)</t>
  </si>
  <si>
    <t>Architecture, UML, database design</t>
  </si>
  <si>
    <t>Dataset collection and labelling (Waris)</t>
  </si>
  <si>
    <t>AI-generated Express apps and CWE labels</t>
  </si>
  <si>
    <t>Model fine-tuning and evaluation (Waris)</t>
  </si>
  <si>
    <t>CodeBERT / GraphCodeBERT, calibration</t>
  </si>
  <si>
    <t>Scan engine, fixes and export (Waris)</t>
  </si>
  <si>
    <t>Parser, route analyzer, rules, fixes, PDF and SARIF</t>
  </si>
  <si>
    <t>Supervisor guidance</t>
  </si>
  <si>
    <t>Provided by the university, not charged</t>
  </si>
  <si>
    <t>Subtotal - Personnel</t>
  </si>
  <si>
    <t>Software and Development Tools</t>
  </si>
  <si>
    <t>Flutter, Dart, VS Code, Visual Studio Community</t>
  </si>
  <si>
    <t>Desktop app development</t>
  </si>
  <si>
    <t>Free</t>
  </si>
  <si>
    <t>set</t>
  </si>
  <si>
    <t>Python, PyTorch, Hugging Face Transformers</t>
  </si>
  <si>
    <t>Model training and running on CPU</t>
  </si>
  <si>
    <t>Tree-sitter, SQLite, Node.js, Express</t>
  </si>
  <si>
    <t>Parsing, local database, sample apps</t>
  </si>
  <si>
    <t>Git, GitHub, ClickUp, draw.io, Google Docs</t>
  </si>
  <si>
    <t>Version control, planning, diagrams, documents</t>
  </si>
  <si>
    <t>Semgrep, Gitleaks, PyInstaller, Inno Setup</t>
  </si>
  <si>
    <t>Baseline tools for evaluation, installer</t>
  </si>
  <si>
    <t>Subtotal - Software and Development Tools</t>
  </si>
  <si>
    <t>Hardware and Infrastructure</t>
  </si>
  <si>
    <t>Developer laptops (owned)</t>
  </si>
  <si>
    <t>Depreciation = value / useful life per month</t>
  </si>
  <si>
    <t>laptops</t>
  </si>
  <si>
    <t>Home internet</t>
  </si>
  <si>
    <t>Already paid by each student</t>
  </si>
  <si>
    <t>students</t>
  </si>
  <si>
    <t>External backup drive, 1 TB</t>
  </si>
  <si>
    <t>Backup of dataset, model files, documents</t>
  </si>
  <si>
    <t>Cash</t>
  </si>
  <si>
    <t>drive</t>
  </si>
  <si>
    <t>Subtotal - Hardware and Infrastructure</t>
  </si>
  <si>
    <t>Cloud Computing and Model Training</t>
  </si>
  <si>
    <t>Google Colab and Kaggle free GPU</t>
  </si>
  <si>
    <t>Model fine-tuning on free tier</t>
  </si>
  <si>
    <t>service</t>
  </si>
  <si>
    <t>Google Colab Pro, 2 months</t>
  </si>
  <si>
    <t>In case the free GPU limit is not enough</t>
  </si>
  <si>
    <t>subscription</t>
  </si>
  <si>
    <t>Google Drive free storage</t>
  </si>
  <si>
    <t>Checkpoints and backups</t>
  </si>
  <si>
    <t>Cloud hosting for the product</t>
  </si>
  <si>
    <t>Not needed: LYKOS runs on the user's computer</t>
  </si>
  <si>
    <t>Subtotal - Cloud Computing and Model Training</t>
  </si>
  <si>
    <t>Testing and Quality Assurance</t>
  </si>
  <si>
    <t>Testing effort (Laiba)</t>
  </si>
  <si>
    <t>Test plan, test cases, usability test</t>
  </si>
  <si>
    <t>Testing effort (Waris)</t>
  </si>
  <si>
    <t>Unit, integration and performance tests</t>
  </si>
  <si>
    <t>pytest, flutter_test, SonarQube Community, Ruff</t>
  </si>
  <si>
    <t>Test frameworks and code analysis</t>
  </si>
  <si>
    <t>Usability test refreshments</t>
  </si>
  <si>
    <t>5 volunteer testers</t>
  </si>
  <si>
    <t>persons</t>
  </si>
  <si>
    <t>Subtotal - Testing and Quality Assurance</t>
  </si>
  <si>
    <t>Documentation, Printing and Travel</t>
  </si>
  <si>
    <t>Final report printing and binding</t>
  </si>
  <si>
    <t>4 copies</t>
  </si>
  <si>
    <t>copies</t>
  </si>
  <si>
    <t>Poster printing</t>
  </si>
  <si>
    <t>Final presentation</t>
  </si>
  <si>
    <t>poster</t>
  </si>
  <si>
    <t>Travel to university</t>
  </si>
  <si>
    <t>Supervisor meetings and demos, one trip every 2 weeks per student</t>
  </si>
  <si>
    <t>Subtotal - Documentation, Printing and Travel</t>
  </si>
  <si>
    <t>Total of all categories (before contingency)</t>
  </si>
  <si>
    <t>Cost category</t>
  </si>
  <si>
    <t>Cash (Rs.)</t>
  </si>
  <si>
    <t>In-kind (Rs.)</t>
  </si>
  <si>
    <t>Share of total</t>
  </si>
  <si>
    <t>Project subtotal</t>
  </si>
  <si>
    <t>Contingency</t>
  </si>
  <si>
    <t>Final project budget (with contingency)</t>
  </si>
  <si>
    <t>Cash needed per student (with contingency)</t>
  </si>
  <si>
    <t>Budget per working day</t>
  </si>
  <si>
    <t>Planned student hours</t>
  </si>
  <si>
    <t>Available student hours</t>
  </si>
  <si>
    <t>Assumption</t>
  </si>
  <si>
    <t>Value</t>
  </si>
  <si>
    <t>Note</t>
  </si>
  <si>
    <t>Project start date</t>
  </si>
  <si>
    <t>Project end date</t>
  </si>
  <si>
    <t>Final delivery milestone</t>
  </si>
  <si>
    <t>Working days (Mon to Fri)</t>
  </si>
  <si>
    <t>Public holidays not removed</t>
  </si>
  <si>
    <t>Working weeks</t>
  </si>
  <si>
    <t>Working days / 5</t>
  </si>
  <si>
    <t>Months (rounded up)</t>
  </si>
  <si>
    <t>Used for depreciation and internet</t>
  </si>
  <si>
    <t>Team members</t>
  </si>
  <si>
    <t>Laiba and Waris</t>
  </si>
  <si>
    <t>Hours per student per week</t>
  </si>
  <si>
    <t>Effort alongside other courses</t>
  </si>
  <si>
    <t>Exchange rate (Rs. per USD)</t>
  </si>
  <si>
    <t>Approximate; used for USD prices</t>
  </si>
  <si>
    <t>Contingency (% of subtotal)</t>
  </si>
  <si>
    <t>For unexpected costs and estimation errors</t>
  </si>
  <si>
    <t>Hourly rate: Flutter / frontend developer</t>
  </si>
  <si>
    <t>Approximate junior rate in Pakistan</t>
  </si>
  <si>
    <t>Hourly rate: backend / ML engineer</t>
  </si>
  <si>
    <t>Hourly rate: project manager / analyst</t>
  </si>
  <si>
    <t>Approximate junior rate</t>
  </si>
  <si>
    <t>Hourly rate: tester / QA</t>
  </si>
  <si>
    <t>Laptop value (each)</t>
  </si>
  <si>
    <t>Both laptops are already owned</t>
  </si>
  <si>
    <t>Laptop useful life (months)</t>
  </si>
  <si>
    <t>Straight-line depreciation</t>
  </si>
  <si>
    <t>Internet per student per month</t>
  </si>
  <si>
    <t>Shop price estimate</t>
  </si>
  <si>
    <t>Google Colab Pro (USD per month)</t>
  </si>
  <si>
    <t>Only if free GPU limits are not enough</t>
  </si>
  <si>
    <t>Refreshments per usability tester</t>
  </si>
  <si>
    <t>Tea and snacks</t>
  </si>
  <si>
    <t>Report printing and binding (per copy)</t>
  </si>
  <si>
    <t>Print shop estimate</t>
  </si>
  <si>
    <t>Travel to university per trip</t>
  </si>
  <si>
    <t>Local transport, one student, one way plus return</t>
  </si>
  <si>
    <t>As per the project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</si>
</sst>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s. &quot;#,##0"/>
    <numFmt numFmtId="165" formatCode="0.0%"/>
    <numFmt numFmtId="166" formatCode="dd\-mmm\-yyyy"/>
  </numFmts>
  <fonts count="3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/>
    <xf numFmtId="0" fontId="0" fillId="0" borderId="1" xfId="0" applyBorder="1"/>
    <xf numFmtId="0" fontId="1" fillId="0" borderId="1" xfId="0" applyFont="1" applyBorder="1"/>
    <xf numFmtId="164" fontId="1" fillId="0" borderId="1" xfId="0" applyNumberFormat="1" applyFont="1" applyBorder="1"/>
    <xf numFmtId="1" fontId="2" fillId="0" borderId="1" xfId="0" applyNumberFormat="1" applyFont="1" applyBorder="1" applyAlignment="1">
      <alignment vertical="top"/>
    </xf>
    <xf numFmtId="164" fontId="1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9" fontId="2" fillId="0" borderId="1" xfId="0" applyNumberFormat="1" applyFont="1" applyBorder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1" fillId="2" borderId="1" xfId="0" applyFont="1" applyFill="1" applyBorder="1"/>
    <xf numFmtId="166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zoomScale="77" zoomScaleNormal="100" workbookViewId="0">
      <pane ySplit="1" topLeftCell="A2" activePane="bottomLeft" state="frozen"/>
      <selection pane="bottomLeft" activeCell="B47" sqref="B47"/>
    </sheetView>
  </sheetViews>
  <sheetFormatPr defaultColWidth="8.6328125" defaultRowHeight="14.5" x14ac:dyDescent="0.35"/>
  <cols>
    <col min="1" max="1" width="5" customWidth="1"/>
    <col min="2" max="2" width="46" customWidth="1"/>
    <col min="3" max="3" width="48" customWidth="1"/>
    <col min="4" max="4" width="10" customWidth="1"/>
    <col min="5" max="5" width="6" customWidth="1"/>
    <col min="6" max="6" width="13" customWidth="1"/>
    <col min="7" max="8" width="14" customWidth="1"/>
    <col min="9" max="9" width="16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B2" s="2" t="s">
        <v>9</v>
      </c>
    </row>
    <row r="3" spans="1:9" x14ac:dyDescent="0.35">
      <c r="A3" s="3">
        <v>1</v>
      </c>
      <c r="B3" s="4" t="s">
        <v>10</v>
      </c>
      <c r="C3" s="4" t="s">
        <v>11</v>
      </c>
      <c r="D3" s="5" t="s">
        <v>12</v>
      </c>
      <c r="E3" s="3">
        <v>1</v>
      </c>
      <c r="F3" s="3" t="s">
        <v>13</v>
      </c>
      <c r="G3" s="6">
        <v>450</v>
      </c>
      <c r="H3" s="7">
        <v>90</v>
      </c>
      <c r="I3" s="8">
        <f t="shared" ref="I3:I10" si="0">E3*G3*H3</f>
        <v>40500</v>
      </c>
    </row>
    <row r="4" spans="1:9" x14ac:dyDescent="0.35">
      <c r="A4" s="3">
        <v>2</v>
      </c>
      <c r="B4" s="4" t="s">
        <v>14</v>
      </c>
      <c r="C4" s="4" t="s">
        <v>15</v>
      </c>
      <c r="D4" s="5" t="s">
        <v>12</v>
      </c>
      <c r="E4" s="3">
        <v>1</v>
      </c>
      <c r="F4" s="3" t="s">
        <v>13</v>
      </c>
      <c r="G4" s="6">
        <f>Assumptions!$B$13</f>
        <v>450</v>
      </c>
      <c r="H4" s="7">
        <v>90</v>
      </c>
      <c r="I4" s="8">
        <f t="shared" si="0"/>
        <v>40500</v>
      </c>
    </row>
    <row r="5" spans="1:9" x14ac:dyDescent="0.35">
      <c r="A5" s="3">
        <v>3</v>
      </c>
      <c r="B5" s="4" t="s">
        <v>16</v>
      </c>
      <c r="C5" s="4" t="s">
        <v>17</v>
      </c>
      <c r="D5" s="5" t="s">
        <v>12</v>
      </c>
      <c r="E5" s="3">
        <v>1</v>
      </c>
      <c r="F5" s="3" t="s">
        <v>13</v>
      </c>
      <c r="G5" s="6">
        <f>Assumptions!$B$11</f>
        <v>450</v>
      </c>
      <c r="H5" s="7">
        <v>190</v>
      </c>
      <c r="I5" s="8">
        <f t="shared" si="0"/>
        <v>85500</v>
      </c>
    </row>
    <row r="6" spans="1:9" x14ac:dyDescent="0.35">
      <c r="A6" s="3">
        <v>4</v>
      </c>
      <c r="B6" s="4" t="s">
        <v>18</v>
      </c>
      <c r="C6" s="4" t="s">
        <v>19</v>
      </c>
      <c r="D6" s="5" t="s">
        <v>12</v>
      </c>
      <c r="E6" s="3">
        <v>1</v>
      </c>
      <c r="F6" s="3" t="s">
        <v>13</v>
      </c>
      <c r="G6" s="6">
        <f>Assumptions!$B$12</f>
        <v>600</v>
      </c>
      <c r="H6" s="7">
        <v>50</v>
      </c>
      <c r="I6" s="8">
        <f t="shared" si="0"/>
        <v>30000</v>
      </c>
    </row>
    <row r="7" spans="1:9" x14ac:dyDescent="0.35">
      <c r="A7" s="3">
        <v>5</v>
      </c>
      <c r="B7" s="4" t="s">
        <v>20</v>
      </c>
      <c r="C7" s="4" t="s">
        <v>21</v>
      </c>
      <c r="D7" s="5" t="s">
        <v>12</v>
      </c>
      <c r="E7" s="3">
        <v>1</v>
      </c>
      <c r="F7" s="3" t="s">
        <v>13</v>
      </c>
      <c r="G7" s="6">
        <f>Assumptions!$B$12</f>
        <v>600</v>
      </c>
      <c r="H7" s="7">
        <v>90</v>
      </c>
      <c r="I7" s="8">
        <f t="shared" si="0"/>
        <v>54000</v>
      </c>
    </row>
    <row r="8" spans="1:9" x14ac:dyDescent="0.35">
      <c r="A8" s="3">
        <v>6</v>
      </c>
      <c r="B8" s="4" t="s">
        <v>22</v>
      </c>
      <c r="C8" s="4" t="s">
        <v>23</v>
      </c>
      <c r="D8" s="5" t="s">
        <v>12</v>
      </c>
      <c r="E8" s="3">
        <v>1</v>
      </c>
      <c r="F8" s="3" t="s">
        <v>13</v>
      </c>
      <c r="G8" s="6">
        <f>Assumptions!$B$12</f>
        <v>600</v>
      </c>
      <c r="H8" s="7">
        <v>90</v>
      </c>
      <c r="I8" s="8">
        <f t="shared" si="0"/>
        <v>54000</v>
      </c>
    </row>
    <row r="9" spans="1:9" x14ac:dyDescent="0.35">
      <c r="A9" s="3">
        <v>7</v>
      </c>
      <c r="B9" s="4" t="s">
        <v>24</v>
      </c>
      <c r="C9" s="4" t="s">
        <v>25</v>
      </c>
      <c r="D9" s="5" t="s">
        <v>12</v>
      </c>
      <c r="E9" s="3">
        <v>1</v>
      </c>
      <c r="F9" s="3" t="s">
        <v>13</v>
      </c>
      <c r="G9" s="6">
        <f>Assumptions!$B$12</f>
        <v>600</v>
      </c>
      <c r="H9" s="7">
        <v>140</v>
      </c>
      <c r="I9" s="8">
        <f t="shared" si="0"/>
        <v>84000</v>
      </c>
    </row>
    <row r="10" spans="1:9" x14ac:dyDescent="0.35">
      <c r="A10" s="3">
        <v>8</v>
      </c>
      <c r="B10" s="4" t="s">
        <v>26</v>
      </c>
      <c r="C10" s="4" t="s">
        <v>27</v>
      </c>
      <c r="D10" s="5" t="s">
        <v>12</v>
      </c>
      <c r="E10" s="3">
        <v>1</v>
      </c>
      <c r="F10" s="3" t="s">
        <v>13</v>
      </c>
      <c r="G10" s="6">
        <v>0</v>
      </c>
      <c r="H10" s="7">
        <v>0</v>
      </c>
      <c r="I10" s="8">
        <f t="shared" si="0"/>
        <v>0</v>
      </c>
    </row>
    <row r="11" spans="1:9" x14ac:dyDescent="0.35">
      <c r="A11" s="9"/>
      <c r="B11" s="10" t="s">
        <v>28</v>
      </c>
      <c r="C11" s="9"/>
      <c r="D11" s="9"/>
      <c r="E11" s="9"/>
      <c r="F11" s="9"/>
      <c r="G11" s="9"/>
      <c r="H11" s="9"/>
      <c r="I11" s="11">
        <f>SUM(I3:I10)</f>
        <v>388500</v>
      </c>
    </row>
    <row r="13" spans="1:9" x14ac:dyDescent="0.35">
      <c r="B13" s="2" t="s">
        <v>29</v>
      </c>
    </row>
    <row r="14" spans="1:9" x14ac:dyDescent="0.35">
      <c r="A14" s="3">
        <v>9</v>
      </c>
      <c r="B14" s="4" t="s">
        <v>30</v>
      </c>
      <c r="C14" s="4" t="s">
        <v>31</v>
      </c>
      <c r="D14" s="5" t="s">
        <v>32</v>
      </c>
      <c r="E14" s="3">
        <v>1</v>
      </c>
      <c r="F14" s="3" t="s">
        <v>33</v>
      </c>
      <c r="G14" s="6">
        <v>0</v>
      </c>
      <c r="H14" s="7">
        <v>1</v>
      </c>
      <c r="I14" s="8">
        <f>E14*G14*H14</f>
        <v>0</v>
      </c>
    </row>
    <row r="15" spans="1:9" x14ac:dyDescent="0.35">
      <c r="A15" s="3">
        <v>10</v>
      </c>
      <c r="B15" s="4" t="s">
        <v>34</v>
      </c>
      <c r="C15" s="4" t="s">
        <v>35</v>
      </c>
      <c r="D15" s="5" t="s">
        <v>32</v>
      </c>
      <c r="E15" s="3">
        <v>1</v>
      </c>
      <c r="F15" s="3" t="s">
        <v>33</v>
      </c>
      <c r="G15" s="6">
        <v>0</v>
      </c>
      <c r="H15" s="7">
        <v>1</v>
      </c>
      <c r="I15" s="8">
        <f>E15*G15*H15</f>
        <v>0</v>
      </c>
    </row>
    <row r="16" spans="1:9" x14ac:dyDescent="0.35">
      <c r="A16" s="3">
        <v>11</v>
      </c>
      <c r="B16" s="4" t="s">
        <v>36</v>
      </c>
      <c r="C16" s="4" t="s">
        <v>37</v>
      </c>
      <c r="D16" s="5" t="s">
        <v>32</v>
      </c>
      <c r="E16" s="3">
        <v>1</v>
      </c>
      <c r="F16" s="3" t="s">
        <v>33</v>
      </c>
      <c r="G16" s="6">
        <v>0</v>
      </c>
      <c r="H16" s="7">
        <v>1</v>
      </c>
      <c r="I16" s="8">
        <f>E16*G16*H16</f>
        <v>0</v>
      </c>
    </row>
    <row r="17" spans="1:9" x14ac:dyDescent="0.35">
      <c r="A17" s="3">
        <v>12</v>
      </c>
      <c r="B17" s="4" t="s">
        <v>38</v>
      </c>
      <c r="C17" s="4" t="s">
        <v>39</v>
      </c>
      <c r="D17" s="5" t="s">
        <v>32</v>
      </c>
      <c r="E17" s="3">
        <v>1</v>
      </c>
      <c r="F17" s="3" t="s">
        <v>33</v>
      </c>
      <c r="G17" s="6">
        <v>0</v>
      </c>
      <c r="H17" s="7">
        <v>1</v>
      </c>
      <c r="I17" s="8">
        <f>E17*G17*H17</f>
        <v>0</v>
      </c>
    </row>
    <row r="18" spans="1:9" x14ac:dyDescent="0.35">
      <c r="A18" s="3">
        <v>13</v>
      </c>
      <c r="B18" s="4" t="s">
        <v>40</v>
      </c>
      <c r="C18" s="4" t="s">
        <v>41</v>
      </c>
      <c r="D18" s="5" t="s">
        <v>32</v>
      </c>
      <c r="E18" s="3">
        <v>1</v>
      </c>
      <c r="F18" s="3" t="s">
        <v>33</v>
      </c>
      <c r="G18" s="6">
        <v>0</v>
      </c>
      <c r="H18" s="7">
        <v>1</v>
      </c>
      <c r="I18" s="8">
        <f>E18*G18*H18</f>
        <v>0</v>
      </c>
    </row>
    <row r="19" spans="1:9" x14ac:dyDescent="0.35">
      <c r="A19" s="9"/>
      <c r="B19" s="10" t="s">
        <v>42</v>
      </c>
      <c r="C19" s="9"/>
      <c r="D19" s="9"/>
      <c r="E19" s="9"/>
      <c r="F19" s="9"/>
      <c r="G19" s="9"/>
      <c r="H19" s="9"/>
      <c r="I19" s="11">
        <f>SUM(I14:I18)</f>
        <v>0</v>
      </c>
    </row>
    <row r="21" spans="1:9" x14ac:dyDescent="0.35">
      <c r="B21" s="2" t="s">
        <v>43</v>
      </c>
    </row>
    <row r="22" spans="1:9" x14ac:dyDescent="0.35">
      <c r="A22" s="3">
        <v>14</v>
      </c>
      <c r="B22" s="4" t="s">
        <v>44</v>
      </c>
      <c r="C22" s="4" t="s">
        <v>45</v>
      </c>
      <c r="D22" s="5" t="s">
        <v>12</v>
      </c>
      <c r="E22" s="12">
        <f>Assumptions!$B$7</f>
        <v>2</v>
      </c>
      <c r="F22" s="3" t="s">
        <v>46</v>
      </c>
      <c r="G22" s="6">
        <f>Assumptions!$B$15/Assumptions!$B$16</f>
        <v>2708.3333333333335</v>
      </c>
      <c r="H22" s="7">
        <f>Assumptions!$B$6</f>
        <v>7</v>
      </c>
      <c r="I22" s="8">
        <f>E22*G22*H22</f>
        <v>37916.666666666672</v>
      </c>
    </row>
    <row r="23" spans="1:9" x14ac:dyDescent="0.35">
      <c r="A23" s="3">
        <v>15</v>
      </c>
      <c r="B23" s="4" t="s">
        <v>47</v>
      </c>
      <c r="C23" s="4" t="s">
        <v>48</v>
      </c>
      <c r="D23" s="5" t="s">
        <v>12</v>
      </c>
      <c r="E23" s="12">
        <f>Assumptions!$B$7</f>
        <v>2</v>
      </c>
      <c r="F23" s="3" t="s">
        <v>49</v>
      </c>
      <c r="G23" s="6">
        <f>Assumptions!$B$17</f>
        <v>3500</v>
      </c>
      <c r="H23" s="7">
        <f>Assumptions!$B$6</f>
        <v>7</v>
      </c>
      <c r="I23" s="8">
        <f>E23*G23*H23</f>
        <v>49000</v>
      </c>
    </row>
    <row r="24" spans="1:9" x14ac:dyDescent="0.35">
      <c r="A24" s="3">
        <v>16</v>
      </c>
      <c r="B24" s="4" t="s">
        <v>50</v>
      </c>
      <c r="C24" s="4" t="s">
        <v>51</v>
      </c>
      <c r="D24" s="5" t="s">
        <v>52</v>
      </c>
      <c r="E24" s="3">
        <v>1</v>
      </c>
      <c r="F24" s="3" t="s">
        <v>53</v>
      </c>
      <c r="G24" s="6">
        <f>Assumptions!$B$18</f>
        <v>14000</v>
      </c>
      <c r="H24" s="7">
        <v>1</v>
      </c>
      <c r="I24" s="8">
        <f>E24*G24*H24</f>
        <v>14000</v>
      </c>
    </row>
    <row r="25" spans="1:9" x14ac:dyDescent="0.35">
      <c r="A25" s="9"/>
      <c r="B25" s="10" t="s">
        <v>54</v>
      </c>
      <c r="C25" s="9"/>
      <c r="D25" s="9"/>
      <c r="E25" s="9"/>
      <c r="F25" s="9"/>
      <c r="G25" s="9"/>
      <c r="H25" s="9"/>
      <c r="I25" s="11">
        <f>SUM(I22:I24)</f>
        <v>100916.66666666667</v>
      </c>
    </row>
    <row r="27" spans="1:9" x14ac:dyDescent="0.35">
      <c r="B27" s="2" t="s">
        <v>55</v>
      </c>
    </row>
    <row r="28" spans="1:9" x14ac:dyDescent="0.35">
      <c r="A28" s="3">
        <v>17</v>
      </c>
      <c r="B28" s="4" t="s">
        <v>56</v>
      </c>
      <c r="C28" s="4" t="s">
        <v>57</v>
      </c>
      <c r="D28" s="5" t="s">
        <v>32</v>
      </c>
      <c r="E28" s="3">
        <v>1</v>
      </c>
      <c r="F28" s="3" t="s">
        <v>58</v>
      </c>
      <c r="G28" s="6">
        <v>0</v>
      </c>
      <c r="H28" s="7">
        <v>1</v>
      </c>
      <c r="I28" s="8">
        <f>E28*G28*H28</f>
        <v>0</v>
      </c>
    </row>
    <row r="29" spans="1:9" x14ac:dyDescent="0.35">
      <c r="A29" s="3">
        <v>18</v>
      </c>
      <c r="B29" s="4" t="s">
        <v>59</v>
      </c>
      <c r="C29" s="4" t="s">
        <v>60</v>
      </c>
      <c r="D29" s="5" t="s">
        <v>52</v>
      </c>
      <c r="E29" s="3">
        <v>1</v>
      </c>
      <c r="F29" s="3" t="s">
        <v>61</v>
      </c>
      <c r="G29" s="6">
        <f>Assumptions!$B$19*Assumptions!$B$9</f>
        <v>2800</v>
      </c>
      <c r="H29" s="7">
        <v>2</v>
      </c>
      <c r="I29" s="8">
        <f>E29*G29*H29</f>
        <v>5600</v>
      </c>
    </row>
    <row r="30" spans="1:9" x14ac:dyDescent="0.35">
      <c r="A30" s="3">
        <v>19</v>
      </c>
      <c r="B30" s="4" t="s">
        <v>62</v>
      </c>
      <c r="C30" s="4" t="s">
        <v>63</v>
      </c>
      <c r="D30" s="5" t="s">
        <v>32</v>
      </c>
      <c r="E30" s="3">
        <v>1</v>
      </c>
      <c r="F30" s="3" t="s">
        <v>58</v>
      </c>
      <c r="G30" s="6">
        <v>0</v>
      </c>
      <c r="H30" s="7">
        <v>1</v>
      </c>
      <c r="I30" s="8">
        <f>E30*G30*H30</f>
        <v>0</v>
      </c>
    </row>
    <row r="31" spans="1:9" x14ac:dyDescent="0.35">
      <c r="A31" s="3">
        <v>20</v>
      </c>
      <c r="B31" s="4" t="s">
        <v>64</v>
      </c>
      <c r="C31" s="4" t="s">
        <v>65</v>
      </c>
      <c r="D31" s="5" t="s">
        <v>32</v>
      </c>
      <c r="E31" s="3">
        <v>0</v>
      </c>
      <c r="F31" s="3" t="s">
        <v>58</v>
      </c>
      <c r="G31" s="6">
        <v>0</v>
      </c>
      <c r="H31" s="7">
        <v>1</v>
      </c>
      <c r="I31" s="8">
        <f>E31*G31*H31</f>
        <v>0</v>
      </c>
    </row>
    <row r="32" spans="1:9" x14ac:dyDescent="0.35">
      <c r="A32" s="9"/>
      <c r="B32" s="10" t="s">
        <v>66</v>
      </c>
      <c r="C32" s="9"/>
      <c r="D32" s="9"/>
      <c r="E32" s="9"/>
      <c r="F32" s="9"/>
      <c r="G32" s="9"/>
      <c r="H32" s="9"/>
      <c r="I32" s="11">
        <f>SUM(I28:I31)</f>
        <v>5600</v>
      </c>
    </row>
    <row r="34" spans="1:9" x14ac:dyDescent="0.35">
      <c r="B34" s="2" t="s">
        <v>67</v>
      </c>
    </row>
    <row r="35" spans="1:9" x14ac:dyDescent="0.35">
      <c r="A35" s="3">
        <v>21</v>
      </c>
      <c r="B35" s="4" t="s">
        <v>68</v>
      </c>
      <c r="C35" s="4" t="s">
        <v>69</v>
      </c>
      <c r="D35" s="5" t="s">
        <v>12</v>
      </c>
      <c r="E35" s="3">
        <v>1</v>
      </c>
      <c r="F35" s="3" t="s">
        <v>13</v>
      </c>
      <c r="G35" s="6">
        <f>Assumptions!$B$14</f>
        <v>400</v>
      </c>
      <c r="H35" s="7">
        <v>50</v>
      </c>
      <c r="I35" s="8">
        <f>E35*G35*H35</f>
        <v>20000</v>
      </c>
    </row>
    <row r="36" spans="1:9" x14ac:dyDescent="0.35">
      <c r="A36" s="3">
        <v>22</v>
      </c>
      <c r="B36" s="4" t="s">
        <v>70</v>
      </c>
      <c r="C36" s="4" t="s">
        <v>71</v>
      </c>
      <c r="D36" s="5" t="s">
        <v>12</v>
      </c>
      <c r="E36" s="3">
        <v>1</v>
      </c>
      <c r="F36" s="3" t="s">
        <v>13</v>
      </c>
      <c r="G36" s="6">
        <f>Assumptions!$B$14</f>
        <v>400</v>
      </c>
      <c r="H36" s="7">
        <v>50</v>
      </c>
      <c r="I36" s="8">
        <f>E36*G36*H36</f>
        <v>20000</v>
      </c>
    </row>
    <row r="37" spans="1:9" x14ac:dyDescent="0.35">
      <c r="A37" s="3">
        <v>23</v>
      </c>
      <c r="B37" s="4" t="s">
        <v>72</v>
      </c>
      <c r="C37" s="4" t="s">
        <v>73</v>
      </c>
      <c r="D37" s="5" t="s">
        <v>32</v>
      </c>
      <c r="E37" s="3">
        <v>1</v>
      </c>
      <c r="F37" s="3" t="s">
        <v>33</v>
      </c>
      <c r="G37" s="6">
        <v>0</v>
      </c>
      <c r="H37" s="7">
        <v>1</v>
      </c>
      <c r="I37" s="8">
        <f>E37*G37*H37</f>
        <v>0</v>
      </c>
    </row>
    <row r="38" spans="1:9" x14ac:dyDescent="0.35">
      <c r="A38" s="3">
        <v>24</v>
      </c>
      <c r="B38" s="4" t="s">
        <v>74</v>
      </c>
      <c r="C38" s="4" t="s">
        <v>75</v>
      </c>
      <c r="D38" s="5" t="s">
        <v>52</v>
      </c>
      <c r="E38" s="3">
        <v>5</v>
      </c>
      <c r="F38" s="3" t="s">
        <v>76</v>
      </c>
      <c r="G38" s="6">
        <f>Assumptions!$B$20</f>
        <v>500</v>
      </c>
      <c r="H38" s="7">
        <v>1</v>
      </c>
      <c r="I38" s="8">
        <f>E38*G38*H38</f>
        <v>2500</v>
      </c>
    </row>
    <row r="39" spans="1:9" x14ac:dyDescent="0.35">
      <c r="A39" s="9"/>
      <c r="B39" s="10" t="s">
        <v>77</v>
      </c>
      <c r="C39" s="9"/>
      <c r="D39" s="9"/>
      <c r="E39" s="9"/>
      <c r="F39" s="9"/>
      <c r="G39" s="9"/>
      <c r="H39" s="9"/>
      <c r="I39" s="11">
        <f>SUM(I35:I38)</f>
        <v>42500</v>
      </c>
    </row>
    <row r="41" spans="1:9" x14ac:dyDescent="0.35">
      <c r="B41" s="2" t="s">
        <v>78</v>
      </c>
    </row>
    <row r="42" spans="1:9" x14ac:dyDescent="0.35">
      <c r="A42" s="3">
        <v>25</v>
      </c>
      <c r="B42" s="4" t="s">
        <v>79</v>
      </c>
      <c r="C42" s="4" t="s">
        <v>80</v>
      </c>
      <c r="D42" s="5" t="s">
        <v>52</v>
      </c>
      <c r="E42" s="3">
        <v>4</v>
      </c>
      <c r="F42" s="3" t="s">
        <v>81</v>
      </c>
      <c r="G42" s="6">
        <f>Assumptions!$B$21</f>
        <v>1500</v>
      </c>
      <c r="H42" s="7">
        <v>1</v>
      </c>
      <c r="I42" s="8">
        <f>E42*G42*H42</f>
        <v>6000</v>
      </c>
    </row>
    <row r="43" spans="1:9" x14ac:dyDescent="0.35">
      <c r="A43" s="3">
        <v>26</v>
      </c>
      <c r="B43" s="4" t="s">
        <v>82</v>
      </c>
      <c r="C43" s="4" t="s">
        <v>83</v>
      </c>
      <c r="D43" s="5" t="s">
        <v>52</v>
      </c>
      <c r="E43" s="3">
        <v>1</v>
      </c>
      <c r="F43" s="3" t="s">
        <v>84</v>
      </c>
      <c r="G43" s="6">
        <f>Assumptions!$B$22</f>
        <v>2000</v>
      </c>
      <c r="H43" s="7">
        <v>1</v>
      </c>
      <c r="I43" s="8">
        <f>E43*G43*H43</f>
        <v>2000</v>
      </c>
    </row>
    <row r="44" spans="1:9" ht="29" x14ac:dyDescent="0.35">
      <c r="A44" s="3">
        <v>27</v>
      </c>
      <c r="B44" s="4" t="s">
        <v>85</v>
      </c>
      <c r="C44" s="4" t="s">
        <v>86</v>
      </c>
      <c r="D44" s="5" t="s">
        <v>52</v>
      </c>
      <c r="E44" s="12">
        <f>Assumptions!$B$7</f>
        <v>2</v>
      </c>
      <c r="F44" s="3" t="s">
        <v>49</v>
      </c>
      <c r="G44" s="6">
        <f>Assumptions!$B$23</f>
        <v>400</v>
      </c>
      <c r="H44" s="7">
        <f>ROUNDDOWN(Assumptions!$B$5/2,0)</f>
        <v>14</v>
      </c>
      <c r="I44" s="8">
        <f>E44*G44*H44</f>
        <v>11200</v>
      </c>
    </row>
    <row r="45" spans="1:9" x14ac:dyDescent="0.35">
      <c r="A45" s="9"/>
      <c r="B45" s="10" t="s">
        <v>87</v>
      </c>
      <c r="C45" s="9"/>
      <c r="D45" s="9"/>
      <c r="E45" s="9"/>
      <c r="F45" s="9"/>
      <c r="G45" s="9"/>
      <c r="H45" s="9"/>
      <c r="I45" s="11">
        <f>SUM(I42:I44)</f>
        <v>19200</v>
      </c>
    </row>
    <row r="47" spans="1:9" x14ac:dyDescent="0.35">
      <c r="B47" s="2" t="s">
        <v>88</v>
      </c>
      <c r="I47" s="13">
        <f>I11+I19+I25+I32+I39+I45</f>
        <v>556716.66666666674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Normal="100" workbookViewId="0">
      <selection activeCell="D15" sqref="D15"/>
    </sheetView>
  </sheetViews>
  <sheetFormatPr defaultColWidth="8.6328125" defaultRowHeight="14.5" x14ac:dyDescent="0.35"/>
  <cols>
    <col min="1" max="1" width="46" customWidth="1"/>
    <col min="2" max="2" width="18" customWidth="1"/>
    <col min="3" max="4" width="16" customWidth="1"/>
    <col min="5" max="5" width="14" customWidth="1"/>
  </cols>
  <sheetData>
    <row r="1" spans="1:5" x14ac:dyDescent="0.35">
      <c r="A1" s="14" t="s">
        <v>89</v>
      </c>
      <c r="B1" s="14" t="s">
        <v>8</v>
      </c>
      <c r="C1" s="14" t="s">
        <v>90</v>
      </c>
      <c r="D1" s="14" t="s">
        <v>91</v>
      </c>
      <c r="E1" s="14" t="s">
        <v>92</v>
      </c>
    </row>
    <row r="2" spans="1:5" x14ac:dyDescent="0.35">
      <c r="A2" s="15" t="s">
        <v>9</v>
      </c>
      <c r="B2" s="8">
        <f>'Project Budget'!$I$11</f>
        <v>388500</v>
      </c>
      <c r="C2" s="8">
        <f>SUMIF('Project Budget'!$D$3:$D$10,"Cash",'Project Budget'!$I$3:$I$10)</f>
        <v>0</v>
      </c>
      <c r="D2" s="8">
        <f>SUMIF('Project Budget'!$D$3:$D$10,"In-kind",'Project Budget'!$I$3:$I$10)</f>
        <v>388500</v>
      </c>
      <c r="E2" s="16">
        <f t="shared" ref="E2:E7" si="0">IF($B$8=0,0,B2/$B$8)</f>
        <v>0.69784151124150517</v>
      </c>
    </row>
    <row r="3" spans="1:5" x14ac:dyDescent="0.35">
      <c r="A3" s="15" t="s">
        <v>29</v>
      </c>
      <c r="B3" s="8">
        <f>'Project Budget'!$I$19</f>
        <v>0</v>
      </c>
      <c r="C3" s="8">
        <f>SUMIF('Project Budget'!$D$14:$D$18,"Cash",'Project Budget'!$I$14:$I$18)</f>
        <v>0</v>
      </c>
      <c r="D3" s="8">
        <f>SUMIF('Project Budget'!$D$14:$D$18,"In-kind",'Project Budget'!$I$14:$I$18)</f>
        <v>0</v>
      </c>
      <c r="E3" s="16">
        <f t="shared" si="0"/>
        <v>0</v>
      </c>
    </row>
    <row r="4" spans="1:5" x14ac:dyDescent="0.35">
      <c r="A4" s="15" t="s">
        <v>43</v>
      </c>
      <c r="B4" s="8">
        <f>'Project Budget'!$I$25</f>
        <v>100916.66666666667</v>
      </c>
      <c r="C4" s="8">
        <f>SUMIF('Project Budget'!$D$22:$D$24,"Cash",'Project Budget'!$I$22:$I$24)</f>
        <v>14000</v>
      </c>
      <c r="D4" s="8">
        <f>SUMIF('Project Budget'!$D$22:$D$24,"In-kind",'Project Budget'!$I$22:$I$24)</f>
        <v>86916.666666666672</v>
      </c>
      <c r="E4" s="16">
        <f t="shared" si="0"/>
        <v>0.18127114331048108</v>
      </c>
    </row>
    <row r="5" spans="1:5" x14ac:dyDescent="0.35">
      <c r="A5" s="15" t="s">
        <v>55</v>
      </c>
      <c r="B5" s="8">
        <f>'Project Budget'!$I$32</f>
        <v>5600</v>
      </c>
      <c r="C5" s="8">
        <f>SUMIF('Project Budget'!$D$28:$D$31,"Cash",'Project Budget'!$I$28:$I$31)</f>
        <v>5600</v>
      </c>
      <c r="D5" s="8">
        <f>SUMIF('Project Budget'!$D$28:$D$31,"In-kind",'Project Budget'!$I$28:$I$31)</f>
        <v>0</v>
      </c>
      <c r="E5" s="16">
        <f t="shared" si="0"/>
        <v>1.005897673861629E-2</v>
      </c>
    </row>
    <row r="6" spans="1:5" x14ac:dyDescent="0.35">
      <c r="A6" s="15" t="s">
        <v>67</v>
      </c>
      <c r="B6" s="8">
        <f>'Project Budget'!$I$39</f>
        <v>42500</v>
      </c>
      <c r="C6" s="8">
        <f>SUMIF('Project Budget'!$D$35:$D$38,"Cash",'Project Budget'!$I$35:$I$38)</f>
        <v>2500</v>
      </c>
      <c r="D6" s="8">
        <f>SUMIF('Project Budget'!$D$35:$D$38,"In-kind",'Project Budget'!$I$35:$I$38)</f>
        <v>40000</v>
      </c>
      <c r="E6" s="16">
        <f t="shared" si="0"/>
        <v>7.6340448462712915E-2</v>
      </c>
    </row>
    <row r="7" spans="1:5" x14ac:dyDescent="0.35">
      <c r="A7" s="15" t="s">
        <v>78</v>
      </c>
      <c r="B7" s="8">
        <f>'Project Budget'!$I$45</f>
        <v>19200</v>
      </c>
      <c r="C7" s="8">
        <f>SUMIF('Project Budget'!$D$42:$D$44,"Cash",'Project Budget'!$I$42:$I$44)</f>
        <v>19200</v>
      </c>
      <c r="D7" s="8">
        <f>SUMIF('Project Budget'!$D$42:$D$44,"In-kind",'Project Budget'!$I$42:$I$44)</f>
        <v>0</v>
      </c>
      <c r="E7" s="16">
        <f t="shared" si="0"/>
        <v>3.4487920246684428E-2</v>
      </c>
    </row>
    <row r="8" spans="1:5" x14ac:dyDescent="0.35">
      <c r="A8" s="10" t="s">
        <v>93</v>
      </c>
      <c r="B8" s="11">
        <f>SUM(B2:B7)</f>
        <v>556716.66666666674</v>
      </c>
      <c r="C8" s="11">
        <f>SUM(C2:C7)</f>
        <v>41300</v>
      </c>
      <c r="D8" s="11">
        <f>SUM(D2:D7)</f>
        <v>515416.66666666669</v>
      </c>
      <c r="E8" s="17">
        <f>SUM(E2:E7)</f>
        <v>1</v>
      </c>
    </row>
    <row r="9" spans="1:5" x14ac:dyDescent="0.35">
      <c r="A9" s="15" t="s">
        <v>94</v>
      </c>
      <c r="B9" s="8">
        <f>B8*Assumptions!$B$10</f>
        <v>55671.666666666679</v>
      </c>
      <c r="C9" s="8">
        <f>C8*Assumptions!$B$10</f>
        <v>4130</v>
      </c>
      <c r="D9" s="8">
        <f>D8*Assumptions!$B$10</f>
        <v>51541.666666666672</v>
      </c>
      <c r="E9" s="18">
        <f>Assumptions!$B$10</f>
        <v>0.1</v>
      </c>
    </row>
    <row r="10" spans="1:5" x14ac:dyDescent="0.35">
      <c r="A10" s="10" t="s">
        <v>95</v>
      </c>
      <c r="B10" s="11">
        <f>B8+B9</f>
        <v>612388.33333333337</v>
      </c>
      <c r="C10" s="11">
        <f>C8+C9</f>
        <v>45430</v>
      </c>
      <c r="D10" s="11">
        <f>D8+D9</f>
        <v>566958.33333333337</v>
      </c>
      <c r="E10" s="10"/>
    </row>
    <row r="12" spans="1:5" x14ac:dyDescent="0.35">
      <c r="A12" s="19" t="s">
        <v>96</v>
      </c>
      <c r="B12" s="20">
        <f>C10/Assumptions!$B$7</f>
        <v>22715</v>
      </c>
    </row>
    <row r="13" spans="1:5" x14ac:dyDescent="0.35">
      <c r="A13" s="19" t="s">
        <v>97</v>
      </c>
      <c r="B13" s="20">
        <f>B10/Assumptions!$B$4</f>
        <v>4469.9878345498782</v>
      </c>
    </row>
    <row r="14" spans="1:5" x14ac:dyDescent="0.35">
      <c r="A14" s="19" t="s">
        <v>98</v>
      </c>
      <c r="B14" s="21">
        <f>SUMPRODUCT(('Project Budget'!$F$3:$F$57="hours")*'Project Budget'!$E$3:$E$57*'Project Budget'!$H$3:$H$57)</f>
        <v>840</v>
      </c>
    </row>
    <row r="15" spans="1:5" x14ac:dyDescent="0.35">
      <c r="A15" s="19" t="s">
        <v>99</v>
      </c>
      <c r="B15" s="21">
        <f>Assumptions!$B$7*Assumptions!$B$8*Assumptions!$B$5</f>
        <v>840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tabSelected="1" zoomScaleNormal="100" workbookViewId="0">
      <selection activeCell="F12" sqref="F12"/>
    </sheetView>
  </sheetViews>
  <sheetFormatPr defaultColWidth="8.6328125" defaultRowHeight="14.5" x14ac:dyDescent="0.35"/>
  <cols>
    <col min="1" max="1" width="46" customWidth="1"/>
    <col min="2" max="2" width="16" customWidth="1"/>
    <col min="3" max="3" width="52" customWidth="1"/>
  </cols>
  <sheetData>
    <row r="1" spans="1:3" x14ac:dyDescent="0.35">
      <c r="A1" s="22" t="s">
        <v>100</v>
      </c>
      <c r="B1" s="22" t="s">
        <v>101</v>
      </c>
      <c r="C1" s="22" t="s">
        <v>102</v>
      </c>
    </row>
    <row r="2" spans="1:3" x14ac:dyDescent="0.35">
      <c r="A2" s="15" t="s">
        <v>103</v>
      </c>
      <c r="B2" s="23">
        <v>46328</v>
      </c>
      <c r="C2" s="15" t="s">
        <v>140</v>
      </c>
    </row>
    <row r="3" spans="1:3" x14ac:dyDescent="0.35">
      <c r="A3" s="15" t="s">
        <v>104</v>
      </c>
      <c r="B3" s="23">
        <v>46518</v>
      </c>
      <c r="C3" s="15" t="s">
        <v>105</v>
      </c>
    </row>
    <row r="4" spans="1:3" x14ac:dyDescent="0.35">
      <c r="A4" s="15" t="s">
        <v>106</v>
      </c>
      <c r="B4" s="24">
        <f>NETWORKDAYS(B2,B3)</f>
        <v>137</v>
      </c>
      <c r="C4" s="15" t="s">
        <v>107</v>
      </c>
    </row>
    <row r="5" spans="1:3" x14ac:dyDescent="0.35">
      <c r="A5" s="15" t="s">
        <v>108</v>
      </c>
      <c r="B5" s="24">
        <f>ROUNDUP(B4/5,0)</f>
        <v>28</v>
      </c>
      <c r="C5" s="15" t="s">
        <v>109</v>
      </c>
    </row>
    <row r="6" spans="1:3" x14ac:dyDescent="0.35">
      <c r="A6" s="15" t="s">
        <v>110</v>
      </c>
      <c r="B6" s="24">
        <f>ROUNDUP((B3-B2)/30.4375,0)</f>
        <v>7</v>
      </c>
      <c r="C6" s="15" t="s">
        <v>111</v>
      </c>
    </row>
    <row r="7" spans="1:3" x14ac:dyDescent="0.35">
      <c r="A7" s="15" t="s">
        <v>112</v>
      </c>
      <c r="B7" s="24">
        <v>2</v>
      </c>
      <c r="C7" s="15" t="s">
        <v>113</v>
      </c>
    </row>
    <row r="8" spans="1:3" x14ac:dyDescent="0.35">
      <c r="A8" s="15" t="s">
        <v>114</v>
      </c>
      <c r="B8" s="24">
        <v>15</v>
      </c>
      <c r="C8" s="15" t="s">
        <v>115</v>
      </c>
    </row>
    <row r="9" spans="1:3" x14ac:dyDescent="0.35">
      <c r="A9" s="15" t="s">
        <v>116</v>
      </c>
      <c r="B9" s="24">
        <v>280</v>
      </c>
      <c r="C9" s="15" t="s">
        <v>117</v>
      </c>
    </row>
    <row r="10" spans="1:3" x14ac:dyDescent="0.35">
      <c r="A10" s="15" t="s">
        <v>118</v>
      </c>
      <c r="B10" s="25">
        <v>0.1</v>
      </c>
      <c r="C10" s="15" t="s">
        <v>119</v>
      </c>
    </row>
    <row r="11" spans="1:3" x14ac:dyDescent="0.35">
      <c r="A11" s="15" t="s">
        <v>120</v>
      </c>
      <c r="B11" s="26">
        <v>450</v>
      </c>
      <c r="C11" s="15" t="s">
        <v>121</v>
      </c>
    </row>
    <row r="12" spans="1:3" x14ac:dyDescent="0.35">
      <c r="A12" s="15" t="s">
        <v>122</v>
      </c>
      <c r="B12" s="26">
        <v>600</v>
      </c>
      <c r="C12" s="15" t="s">
        <v>121</v>
      </c>
    </row>
    <row r="13" spans="1:3" x14ac:dyDescent="0.35">
      <c r="A13" s="15" t="s">
        <v>123</v>
      </c>
      <c r="B13" s="26">
        <v>450</v>
      </c>
      <c r="C13" s="15" t="s">
        <v>124</v>
      </c>
    </row>
    <row r="14" spans="1:3" x14ac:dyDescent="0.35">
      <c r="A14" s="15" t="s">
        <v>125</v>
      </c>
      <c r="B14" s="26">
        <v>400</v>
      </c>
      <c r="C14" s="15" t="s">
        <v>124</v>
      </c>
    </row>
    <row r="15" spans="1:3" x14ac:dyDescent="0.35">
      <c r="A15" s="15" t="s">
        <v>126</v>
      </c>
      <c r="B15" s="26">
        <v>130000</v>
      </c>
      <c r="C15" s="15" t="s">
        <v>127</v>
      </c>
    </row>
    <row r="16" spans="1:3" x14ac:dyDescent="0.35">
      <c r="A16" s="15" t="s">
        <v>128</v>
      </c>
      <c r="B16" s="24">
        <v>48</v>
      </c>
      <c r="C16" s="15" t="s">
        <v>129</v>
      </c>
    </row>
    <row r="17" spans="1:3" x14ac:dyDescent="0.35">
      <c r="A17" s="15" t="s">
        <v>130</v>
      </c>
      <c r="B17" s="26">
        <v>3500</v>
      </c>
      <c r="C17" s="15" t="s">
        <v>48</v>
      </c>
    </row>
    <row r="18" spans="1:3" x14ac:dyDescent="0.35">
      <c r="A18" s="15" t="s">
        <v>50</v>
      </c>
      <c r="B18" s="26">
        <v>14000</v>
      </c>
      <c r="C18" s="15" t="s">
        <v>131</v>
      </c>
    </row>
    <row r="19" spans="1:3" x14ac:dyDescent="0.35">
      <c r="A19" s="15" t="s">
        <v>132</v>
      </c>
      <c r="B19" s="27">
        <v>10</v>
      </c>
      <c r="C19" s="15" t="s">
        <v>133</v>
      </c>
    </row>
    <row r="20" spans="1:3" x14ac:dyDescent="0.35">
      <c r="A20" s="15" t="s">
        <v>134</v>
      </c>
      <c r="B20" s="26">
        <v>500</v>
      </c>
      <c r="C20" s="15" t="s">
        <v>135</v>
      </c>
    </row>
    <row r="21" spans="1:3" x14ac:dyDescent="0.35">
      <c r="A21" s="15" t="s">
        <v>136</v>
      </c>
      <c r="B21" s="26">
        <v>1500</v>
      </c>
      <c r="C21" s="15" t="s">
        <v>137</v>
      </c>
    </row>
    <row r="22" spans="1:3" x14ac:dyDescent="0.35">
      <c r="A22" s="15" t="s">
        <v>82</v>
      </c>
      <c r="B22" s="26">
        <v>2000</v>
      </c>
      <c r="C22" s="15" t="s">
        <v>137</v>
      </c>
    </row>
    <row r="23" spans="1:3" x14ac:dyDescent="0.35">
      <c r="A23" s="15" t="s">
        <v>138</v>
      </c>
      <c r="B23" s="26">
        <v>400</v>
      </c>
      <c r="C23" s="15" t="s">
        <v>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Budget</vt:lpstr>
      <vt:lpstr>Cost Summary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(FA23-BSE-048) LAIBA USMAN</cp:lastModifiedBy>
  <cp:revision>0</cp:revision>
  <dcterms:created xsi:type="dcterms:W3CDTF">2026-10-25T19:59:54Z</dcterms:created>
  <dcterms:modified xsi:type="dcterms:W3CDTF">2026-10-25T20:16:13Z</dcterms:modified>
  <dc:language>en-US</dc:language>
</cp:coreProperties>
</file>